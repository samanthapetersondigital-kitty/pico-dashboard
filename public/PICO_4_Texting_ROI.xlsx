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0.0%"/>
    <numFmt numFmtId="166" formatCode="$#,##0.00"/>
    <numFmt numFmtId="167" formatCode="0.00x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4" borderId="1" pivotButton="0" quotePrefix="0" xfId="0"/>
    <xf numFmtId="3" fontId="4" fillId="4" borderId="1" pivotButton="0" quotePrefix="0" xfId="0"/>
    <xf numFmtId="165" fontId="4" fillId="4" borderId="1" pivotButton="0" quotePrefix="0" xfId="0"/>
    <xf numFmtId="166" fontId="4" fillId="5" borderId="1" pivotButton="0" quotePrefix="0" xfId="0"/>
    <xf numFmtId="166" fontId="4" fillId="4" borderId="1" pivotButton="0" quotePrefix="0" xfId="0"/>
    <xf numFmtId="167" fontId="4" fillId="4" borderId="1" applyAlignment="1" pivotButton="0" quotePrefix="0" xfId="0">
      <alignment horizontal="center"/>
    </xf>
    <xf numFmtId="0" fontId="0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3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7" fontId="4" fillId="6" borderId="1" applyAlignment="1" pivotButton="0" quotePrefix="0" xfId="0">
      <alignment horizontal="center"/>
    </xf>
    <xf numFmtId="0" fontId="3" fillId="7" borderId="1" pivotButton="0" quotePrefix="0" xfId="0"/>
    <xf numFmtId="3" fontId="3" fillId="7" borderId="1" pivotButton="0" quotePrefix="0" xfId="0"/>
    <xf numFmtId="166" fontId="3" fillId="7" borderId="1" pivotButton="0" quotePrefix="0" xfId="0"/>
    <xf numFmtId="167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PICO Texting ROI — Campaign Log</t>
        </is>
      </c>
    </row>
    <row r="2" ht="16" customHeight="1">
      <c r="A2" s="2" t="inlineStr">
        <is>
          <t>Spend auto-calc = $0.07 × Delivered. ROAS auto-calc = Revenue / Spend. Revenue = enter from ActBlue ref codes. Yellow = manual.</t>
        </is>
      </c>
    </row>
    <row r="3" ht="30" customHeight="1">
      <c r="A3" s="3" t="inlineStr">
        <is>
          <t>Campaign Name</t>
        </is>
      </c>
      <c r="B3" s="3" t="inlineStr">
        <is>
          <t>Send Date</t>
        </is>
      </c>
      <c r="C3" s="3" t="inlineStr">
        <is>
          <t>Purpose</t>
        </is>
      </c>
      <c r="D3" s="3" t="inlineStr">
        <is>
          <t>Total Contacts</t>
        </is>
      </c>
      <c r="E3" s="3" t="inlineStr">
        <is>
          <t>Delivered</t>
        </is>
      </c>
      <c r="F3" s="3" t="inlineStr">
        <is>
          <t>Delivery Rate</t>
        </is>
      </c>
      <c r="G3" s="3" t="inlineStr">
        <is>
          <t>Smart Links Clicked</t>
        </is>
      </c>
      <c r="H3" s="3" t="inlineStr">
        <is>
          <t>Click Rate</t>
        </is>
      </c>
      <c r="I3" s="3" t="inlineStr">
        <is>
          <t>Opt-Outs</t>
        </is>
      </c>
      <c r="J3" s="3" t="inlineStr">
        <is>
          <t>Revenue ($)</t>
        </is>
      </c>
      <c r="K3" s="3" t="inlineStr">
        <is>
          <t>Spend ($)</t>
        </is>
      </c>
      <c r="L3" s="3" t="inlineStr">
        <is>
          <t>ROAS</t>
        </is>
      </c>
      <c r="M3" s="3" t="inlineStr">
        <is>
          <t>Notes</t>
        </is>
      </c>
    </row>
    <row r="4">
      <c r="A4" s="4" t="inlineStr">
        <is>
          <t>251104 to OPT INS</t>
        </is>
      </c>
      <c r="B4" s="5" t="inlineStr">
        <is>
          <t>2025-11-04</t>
        </is>
      </c>
      <c r="C4" s="4" t="inlineStr">
        <is>
          <t>Other</t>
        </is>
      </c>
      <c r="D4" s="6" t="n">
        <v>8867</v>
      </c>
      <c r="E4" s="6" t="n">
        <v>8448</v>
      </c>
      <c r="F4" s="7">
        <f>IF(AND(ISNUMBER(D4),D4&lt;&gt;0),E4/D4,"")</f>
        <v/>
      </c>
      <c r="G4" s="6" t="n">
        <v>0</v>
      </c>
      <c r="H4" s="7">
        <f>IF(AND(ISNUMBER(E4),E4&lt;&gt;0),G4/E4,"")</f>
        <v/>
      </c>
      <c r="I4" s="6" t="n">
        <v>18</v>
      </c>
      <c r="J4" s="8" t="n">
        <v>0</v>
      </c>
      <c r="K4" s="9">
        <f>E4*0.07</f>
        <v/>
      </c>
      <c r="L4" s="10">
        <f>IF(AND(ISNUMBER(K4),K4&lt;&gt;0),J4/K4,"")</f>
        <v/>
      </c>
      <c r="M4" s="11" t="n"/>
    </row>
    <row r="5">
      <c r="A5" s="12" t="inlineStr">
        <is>
          <t>251104 to CA-22 ENGLISH</t>
        </is>
      </c>
      <c r="B5" s="13" t="inlineStr">
        <is>
          <t>2025-11-04</t>
        </is>
      </c>
      <c r="C5" s="12" t="inlineStr">
        <is>
          <t>Other</t>
        </is>
      </c>
      <c r="D5" s="14" t="n">
        <v>4274</v>
      </c>
      <c r="E5" s="14" t="n">
        <v>3685</v>
      </c>
      <c r="F5" s="15">
        <f>IF(AND(ISNUMBER(D5),D5&lt;&gt;0),E5/D5,"")</f>
        <v/>
      </c>
      <c r="G5" s="14" t="n">
        <v>0</v>
      </c>
      <c r="H5" s="15">
        <f>IF(AND(ISNUMBER(E5),E5&lt;&gt;0),G5/E5,"")</f>
        <v/>
      </c>
      <c r="I5" s="14" t="n">
        <v>16</v>
      </c>
      <c r="J5" s="8" t="n">
        <v>0</v>
      </c>
      <c r="K5" s="16">
        <f>E5*0.07</f>
        <v/>
      </c>
      <c r="L5" s="17">
        <f>IF(AND(ISNUMBER(K5),K5&lt;&gt;0),J5/K5,"")</f>
        <v/>
      </c>
      <c r="M5" s="11" t="n"/>
    </row>
    <row r="6">
      <c r="A6" s="4" t="inlineStr">
        <is>
          <t>251104 to CA-22 SPANISH</t>
        </is>
      </c>
      <c r="B6" s="5" t="inlineStr">
        <is>
          <t>2025-11-04</t>
        </is>
      </c>
      <c r="C6" s="4" t="inlineStr">
        <is>
          <t>Other</t>
        </is>
      </c>
      <c r="D6" s="6" t="n">
        <v>686</v>
      </c>
      <c r="E6" s="6" t="n">
        <v>609</v>
      </c>
      <c r="F6" s="7">
        <f>IF(AND(ISNUMBER(D6),D6&lt;&gt;0),E6/D6,"")</f>
        <v/>
      </c>
      <c r="G6" s="6" t="n">
        <v>0</v>
      </c>
      <c r="H6" s="7">
        <f>IF(AND(ISNUMBER(E6),E6&lt;&gt;0),G6/E6,"")</f>
        <v/>
      </c>
      <c r="I6" s="6" t="n">
        <v>3</v>
      </c>
      <c r="J6" s="8" t="n">
        <v>0</v>
      </c>
      <c r="K6" s="9">
        <f>E6*0.07</f>
        <v/>
      </c>
      <c r="L6" s="10">
        <f>IF(AND(ISNUMBER(K6),K6&lt;&gt;0),J6/K6,"")</f>
        <v/>
      </c>
      <c r="M6" s="11" t="n"/>
    </row>
    <row r="7">
      <c r="A7" s="18" t="inlineStr">
        <is>
          <t>TOTALS</t>
        </is>
      </c>
      <c r="B7" s="18" t="n"/>
      <c r="C7" s="18" t="n"/>
      <c r="D7" s="19">
        <f>SUM(D4:D6)</f>
        <v/>
      </c>
      <c r="E7" s="19">
        <f>SUM(E4:E6)</f>
        <v/>
      </c>
      <c r="F7" s="18" t="n"/>
      <c r="G7" s="19">
        <f>SUM(G4:G6)</f>
        <v/>
      </c>
      <c r="H7" s="18" t="n"/>
      <c r="I7" s="19">
        <f>SUM(I4:I6)</f>
        <v/>
      </c>
      <c r="J7" s="20">
        <f>SUM(J4:J6)</f>
        <v/>
      </c>
      <c r="K7" s="20">
        <f>SUM(K4:K6)</f>
        <v/>
      </c>
      <c r="L7" s="21">
        <f>IF(K7&lt;&gt;0,J7/K7,"")</f>
        <v/>
      </c>
      <c r="M7" s="18" t="n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2026-04-14T04:46:17Z</dcterms:created>
  <dcterms:modified xmlns:dcterms="http://purl.org/dc/terms/" xmlns:xsi="http://www.w3.org/2001/XMLSchema-instance" xsi:type="dcterms:W3CDTF">2026-04-14T04:46:17Z</dcterms:modified>
</cp:coreProperties>
</file>